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4AB280F-2851-4521-A468-3806174055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191029"/>
</workbook>
</file>

<file path=xl/calcChain.xml><?xml version="1.0" encoding="utf-8"?>
<calcChain xmlns="http://schemas.openxmlformats.org/spreadsheetml/2006/main">
  <c r="H15" i="1" l="1"/>
  <c r="E8" i="1"/>
  <c r="H4" i="1"/>
  <c r="G5" i="1"/>
  <c r="G6" i="1" s="1"/>
  <c r="G7" i="1" s="1"/>
  <c r="H7" i="1" s="1"/>
  <c r="B17" i="1"/>
  <c r="E5" i="1" s="1"/>
  <c r="B9" i="1"/>
  <c r="I15" i="1" s="1"/>
  <c r="I5" i="1" l="1"/>
  <c r="E12" i="1"/>
  <c r="H5" i="1"/>
  <c r="E11" i="1"/>
  <c r="I4" i="1"/>
  <c r="E10" i="1"/>
  <c r="E9" i="1"/>
  <c r="I7" i="1"/>
  <c r="I6" i="1"/>
  <c r="H6" i="1"/>
  <c r="G8" i="1"/>
  <c r="I8" i="1" l="1"/>
  <c r="H8" i="1"/>
  <c r="G9" i="1"/>
  <c r="I9" i="1" l="1"/>
  <c r="H9" i="1"/>
  <c r="G10" i="1"/>
  <c r="G11" i="1" l="1"/>
  <c r="H10" i="1"/>
  <c r="I10" i="1"/>
  <c r="G12" i="1" l="1"/>
  <c r="H11" i="1"/>
  <c r="I11" i="1"/>
  <c r="I12" i="1" l="1"/>
  <c r="H12" i="1"/>
  <c r="G13" i="1"/>
  <c r="I13" i="1" l="1"/>
  <c r="G14" i="1"/>
  <c r="H13" i="1"/>
  <c r="I14" i="1" l="1"/>
  <c r="G16" i="1"/>
  <c r="H14" i="1"/>
  <c r="I16" i="1" l="1"/>
  <c r="G17" i="1"/>
  <c r="H16" i="1"/>
  <c r="G18" i="1" l="1"/>
  <c r="H17" i="1"/>
  <c r="I17" i="1"/>
  <c r="H18" i="1" l="1"/>
  <c r="I18" i="1"/>
  <c r="G19" i="1"/>
  <c r="G20" i="1" l="1"/>
  <c r="H19" i="1"/>
  <c r="I19" i="1"/>
  <c r="G21" i="1" l="1"/>
  <c r="I20" i="1"/>
  <c r="H20" i="1"/>
  <c r="G22" i="1" l="1"/>
  <c r="I21" i="1"/>
  <c r="H21" i="1"/>
  <c r="G23" i="1" l="1"/>
  <c r="I22" i="1"/>
  <c r="H22" i="1"/>
  <c r="H23" i="1" l="1"/>
  <c r="I23" i="1"/>
  <c r="G24" i="1"/>
  <c r="G25" i="1" l="1"/>
  <c r="I24" i="1"/>
  <c r="H24" i="1"/>
  <c r="H25" i="1" l="1"/>
  <c r="I25" i="1"/>
</calcChain>
</file>

<file path=xl/sharedStrings.xml><?xml version="1.0" encoding="utf-8"?>
<sst xmlns="http://schemas.openxmlformats.org/spreadsheetml/2006/main" count="26" uniqueCount="25">
  <si>
    <t>ESERCIZIO 2 DI PAG. 44 (GPOI)</t>
  </si>
  <si>
    <t>COSTI FISSI</t>
  </si>
  <si>
    <t>Impianti</t>
  </si>
  <si>
    <t>Manutenzioni</t>
  </si>
  <si>
    <t>Fitti passivi</t>
  </si>
  <si>
    <t>Oneri finanziari</t>
  </si>
  <si>
    <t>Altri</t>
  </si>
  <si>
    <t>Totale costi fissi</t>
  </si>
  <si>
    <t>COSTI VARIABILI</t>
  </si>
  <si>
    <t>Manodopera</t>
  </si>
  <si>
    <t>Materie prime</t>
  </si>
  <si>
    <t>Materiale di consumo</t>
  </si>
  <si>
    <t>Energia</t>
  </si>
  <si>
    <t>Totale costi variabili</t>
  </si>
  <si>
    <t>Pu =</t>
  </si>
  <si>
    <t>CVu =</t>
  </si>
  <si>
    <t>R = Pu * q =</t>
  </si>
  <si>
    <t>CT = CF + CV =</t>
  </si>
  <si>
    <t>Quantità (q)</t>
  </si>
  <si>
    <t>Ricavi Totali (RT)</t>
  </si>
  <si>
    <t>Costi Totali (CT)</t>
  </si>
  <si>
    <t>q =</t>
  </si>
  <si>
    <t>BEP = CF / (Pu − CVu) =</t>
  </si>
  <si>
    <t>CT = CF + q * CVu =</t>
  </si>
  <si>
    <t xml:space="preserve"> RT = q * Pu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</si>
</sst>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1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Grafico del Break-Even 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Foglio1!$G$3</c:f>
              <c:strCache>
                <c:ptCount val="1"/>
                <c:pt idx="0">
                  <c:v>Quantità (q)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Foglio1!$G$4:$G$25</c:f>
              <c:numCache>
                <c:formatCode>#,##0</c:formatCode>
                <c:ptCount val="22"/>
                <c:pt idx="0" formatCode="General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 formatCode="General">
                  <c:v>51847</c:v>
                </c:pt>
                <c:pt idx="12">
                  <c:v>55000</c:v>
                </c:pt>
                <c:pt idx="13">
                  <c:v>60000</c:v>
                </c:pt>
                <c:pt idx="14">
                  <c:v>65000</c:v>
                </c:pt>
                <c:pt idx="15">
                  <c:v>70000</c:v>
                </c:pt>
                <c:pt idx="16">
                  <c:v>75000</c:v>
                </c:pt>
                <c:pt idx="17">
                  <c:v>80000</c:v>
                </c:pt>
                <c:pt idx="18">
                  <c:v>85000</c:v>
                </c:pt>
                <c:pt idx="19">
                  <c:v>90000</c:v>
                </c:pt>
                <c:pt idx="20">
                  <c:v>95000</c:v>
                </c:pt>
                <c:pt idx="21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6-4E16-BF62-85D5C8E2805D}"/>
            </c:ext>
          </c:extLst>
        </c:ser>
        <c:ser>
          <c:idx val="1"/>
          <c:order val="1"/>
          <c:tx>
            <c:strRef>
              <c:f>Foglio1!$H$3</c:f>
              <c:strCache>
                <c:ptCount val="1"/>
                <c:pt idx="0">
                  <c:v>Ricavi Totali (RT)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Foglio1!$H$4:$H$25</c:f>
              <c:numCache>
                <c:formatCode>#,##0.00\ "€"</c:formatCode>
                <c:ptCount val="22"/>
                <c:pt idx="0">
                  <c:v>0</c:v>
                </c:pt>
                <c:pt idx="1">
                  <c:v>47500</c:v>
                </c:pt>
                <c:pt idx="2">
                  <c:v>95000</c:v>
                </c:pt>
                <c:pt idx="3">
                  <c:v>142500</c:v>
                </c:pt>
                <c:pt idx="4">
                  <c:v>190000</c:v>
                </c:pt>
                <c:pt idx="5">
                  <c:v>237500</c:v>
                </c:pt>
                <c:pt idx="6">
                  <c:v>285000</c:v>
                </c:pt>
                <c:pt idx="7">
                  <c:v>332500</c:v>
                </c:pt>
                <c:pt idx="8">
                  <c:v>380000</c:v>
                </c:pt>
                <c:pt idx="9">
                  <c:v>427500</c:v>
                </c:pt>
                <c:pt idx="10">
                  <c:v>475000</c:v>
                </c:pt>
                <c:pt idx="11">
                  <c:v>492546.5</c:v>
                </c:pt>
                <c:pt idx="12">
                  <c:v>522500</c:v>
                </c:pt>
                <c:pt idx="13">
                  <c:v>570000</c:v>
                </c:pt>
                <c:pt idx="14">
                  <c:v>617500</c:v>
                </c:pt>
                <c:pt idx="15">
                  <c:v>665000</c:v>
                </c:pt>
                <c:pt idx="16">
                  <c:v>712500</c:v>
                </c:pt>
                <c:pt idx="17">
                  <c:v>760000</c:v>
                </c:pt>
                <c:pt idx="18">
                  <c:v>807500</c:v>
                </c:pt>
                <c:pt idx="19">
                  <c:v>855000</c:v>
                </c:pt>
                <c:pt idx="20">
                  <c:v>902500</c:v>
                </c:pt>
                <c:pt idx="21">
                  <c:v>950000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16-4E16-BF62-85D5C8E2805D}"/>
            </c:ext>
          </c:extLst>
        </c:ser>
        <c:ser>
          <c:idx val="2"/>
          <c:order val="2"/>
          <c:tx>
            <c:strRef>
              <c:f>Foglio1!$I$3</c:f>
              <c:strCache>
                <c:ptCount val="1"/>
                <c:pt idx="0">
                  <c:v>Costi Totali (CT)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Foglio1!$I$4:$I$25</c:f>
              <c:numCache>
                <c:formatCode>#,##0.00\ "€"</c:formatCode>
                <c:ptCount val="22"/>
                <c:pt idx="0">
                  <c:v>115100</c:v>
                </c:pt>
                <c:pt idx="1">
                  <c:v>151500</c:v>
                </c:pt>
                <c:pt idx="2">
                  <c:v>187900</c:v>
                </c:pt>
                <c:pt idx="3">
                  <c:v>224300</c:v>
                </c:pt>
                <c:pt idx="4">
                  <c:v>260700</c:v>
                </c:pt>
                <c:pt idx="5">
                  <c:v>297100</c:v>
                </c:pt>
                <c:pt idx="6">
                  <c:v>333500</c:v>
                </c:pt>
                <c:pt idx="7">
                  <c:v>369900</c:v>
                </c:pt>
                <c:pt idx="8">
                  <c:v>406300</c:v>
                </c:pt>
                <c:pt idx="9">
                  <c:v>442700</c:v>
                </c:pt>
                <c:pt idx="10">
                  <c:v>479099.99999999994</c:v>
                </c:pt>
                <c:pt idx="11">
                  <c:v>492546.16</c:v>
                </c:pt>
                <c:pt idx="12">
                  <c:v>515499.99999999994</c:v>
                </c:pt>
                <c:pt idx="13">
                  <c:v>551900</c:v>
                </c:pt>
                <c:pt idx="14">
                  <c:v>588300</c:v>
                </c:pt>
                <c:pt idx="15">
                  <c:v>624700</c:v>
                </c:pt>
                <c:pt idx="16">
                  <c:v>661100</c:v>
                </c:pt>
                <c:pt idx="17">
                  <c:v>697500</c:v>
                </c:pt>
                <c:pt idx="18">
                  <c:v>733900</c:v>
                </c:pt>
                <c:pt idx="19">
                  <c:v>770300</c:v>
                </c:pt>
                <c:pt idx="20">
                  <c:v>806699.99999999988</c:v>
                </c:pt>
                <c:pt idx="21">
                  <c:v>843099.99999999988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16-4E16-BF62-85D5C8E28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082520"/>
        <c:axId val="747088280"/>
      </c:lineChart>
      <c:catAx>
        <c:axId val="747082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baseline="0"/>
                  <a:t>Quantità (q)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7088280"/>
        <c:crosses val="autoZero"/>
        <c:auto val="1"/>
        <c:lblAlgn val="ctr"/>
        <c:lblOffset val="100"/>
        <c:noMultiLvlLbl val="0"/>
      </c:catAx>
      <c:valAx>
        <c:axId val="74708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baseline="0"/>
                  <a:t>Valore (€)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708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4761</xdr:rowOff>
    </xdr:from>
    <xdr:to>
      <xdr:col>19</xdr:col>
      <xdr:colOff>600075</xdr:colOff>
      <xdr:row>21</xdr:row>
      <xdr:rowOff>9524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8A0C8FE-1C1F-FF79-661F-B00F21729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133350</xdr:colOff>
      <xdr:row>8</xdr:row>
      <xdr:rowOff>123825</xdr:rowOff>
    </xdr:from>
    <xdr:ext cx="508985" cy="342786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4E788560-9B7E-EE06-8F7A-29D7845613FC}"/>
            </a:ext>
          </a:extLst>
        </xdr:cNvPr>
        <xdr:cNvSpPr txBox="1"/>
      </xdr:nvSpPr>
      <xdr:spPr>
        <a:xfrm>
          <a:off x="14239875" y="1924050"/>
          <a:ext cx="50898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600" b="1">
              <a:solidFill>
                <a:srgbClr val="00B0F0"/>
              </a:solidFill>
              <a:latin typeface="+mn-lt"/>
            </a:rPr>
            <a:t>BEP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L29" sqref="L29"/>
    </sheetView>
  </sheetViews>
  <sheetFormatPr defaultRowHeight="15" x14ac:dyDescent="0.25"/>
  <cols>
    <col min="1" max="1" width="35.140625" bestFit="1" customWidth="1"/>
    <col min="2" max="2" width="14.7109375" bestFit="1" customWidth="1"/>
    <col min="4" max="4" width="27.140625" bestFit="1" customWidth="1"/>
    <col min="5" max="5" width="14.7109375" bestFit="1" customWidth="1"/>
    <col min="7" max="7" width="13.140625" customWidth="1"/>
    <col min="8" max="8" width="17.7109375" customWidth="1"/>
    <col min="9" max="9" width="15.85546875" customWidth="1"/>
  </cols>
  <sheetData>
    <row r="1" spans="1:11" ht="15.7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1"/>
      <c r="K1" s="1"/>
    </row>
    <row r="2" spans="1:11" ht="15.75" x14ac:dyDescent="0.25">
      <c r="A2" s="2"/>
      <c r="B2" s="2"/>
      <c r="C2" s="2"/>
      <c r="D2" s="2"/>
      <c r="E2" s="2"/>
      <c r="F2" s="2"/>
      <c r="G2" s="2"/>
      <c r="H2" s="2"/>
      <c r="I2" s="2"/>
      <c r="J2" s="1"/>
      <c r="K2" s="1"/>
    </row>
    <row r="3" spans="1:11" ht="31.5" x14ac:dyDescent="0.25">
      <c r="A3" s="11" t="s">
        <v>1</v>
      </c>
      <c r="B3" s="12"/>
      <c r="C3" s="2"/>
      <c r="D3" s="3" t="s">
        <v>14</v>
      </c>
      <c r="E3" s="4">
        <v>9.5</v>
      </c>
      <c r="F3" s="2"/>
      <c r="G3" s="7" t="s">
        <v>18</v>
      </c>
      <c r="H3" s="7" t="s">
        <v>19</v>
      </c>
      <c r="I3" s="7" t="s">
        <v>20</v>
      </c>
      <c r="J3" s="1"/>
      <c r="K3" s="1"/>
    </row>
    <row r="4" spans="1:11" ht="15.75" x14ac:dyDescent="0.25">
      <c r="A4" s="14" t="s">
        <v>2</v>
      </c>
      <c r="B4" s="15">
        <v>85000</v>
      </c>
      <c r="C4" s="2"/>
      <c r="D4" s="3" t="s">
        <v>21</v>
      </c>
      <c r="E4" s="5">
        <v>5000</v>
      </c>
      <c r="F4" s="2"/>
      <c r="G4" s="8">
        <v>0</v>
      </c>
      <c r="H4" s="16">
        <f>$E$3*$G4</f>
        <v>0</v>
      </c>
      <c r="I4" s="9">
        <f>$B$9+($G4*$B$17)</f>
        <v>115100</v>
      </c>
      <c r="J4" s="1"/>
      <c r="K4" s="1"/>
    </row>
    <row r="5" spans="1:11" ht="15.75" x14ac:dyDescent="0.25">
      <c r="A5" s="14" t="s">
        <v>3</v>
      </c>
      <c r="B5" s="15">
        <v>8600</v>
      </c>
      <c r="C5" s="2"/>
      <c r="D5" s="3" t="s">
        <v>15</v>
      </c>
      <c r="E5" s="4">
        <f>$B17</f>
        <v>7.2799999999999994</v>
      </c>
      <c r="F5" s="2"/>
      <c r="G5" s="17">
        <f>$G4+5000</f>
        <v>5000</v>
      </c>
      <c r="H5" s="16">
        <f t="shared" ref="H5:H14" si="0">$E$3*$G5</f>
        <v>47500</v>
      </c>
      <c r="I5" s="9">
        <f t="shared" ref="I5:I14" si="1">$B$9+($G5*$B$17)</f>
        <v>151500</v>
      </c>
      <c r="J5" s="1"/>
      <c r="K5" s="1"/>
    </row>
    <row r="6" spans="1:11" ht="15.75" x14ac:dyDescent="0.25">
      <c r="A6" s="14" t="s">
        <v>4</v>
      </c>
      <c r="B6" s="15">
        <v>11650</v>
      </c>
      <c r="C6" s="2"/>
      <c r="D6" s="2"/>
      <c r="E6" s="2"/>
      <c r="F6" s="2"/>
      <c r="G6" s="17">
        <f t="shared" ref="G6:G24" si="2">$G5+5000</f>
        <v>10000</v>
      </c>
      <c r="H6" s="16">
        <f t="shared" si="0"/>
        <v>95000</v>
      </c>
      <c r="I6" s="9">
        <f t="shared" si="1"/>
        <v>187900</v>
      </c>
      <c r="J6" s="1"/>
      <c r="K6" s="1"/>
    </row>
    <row r="7" spans="1:11" ht="15.75" x14ac:dyDescent="0.25">
      <c r="A7" s="14" t="s">
        <v>5</v>
      </c>
      <c r="B7" s="15">
        <v>8650</v>
      </c>
      <c r="C7" s="2"/>
      <c r="D7" s="2"/>
      <c r="E7" s="2"/>
      <c r="F7" s="2"/>
      <c r="G7" s="17">
        <f t="shared" si="2"/>
        <v>15000</v>
      </c>
      <c r="H7" s="16">
        <f t="shared" si="0"/>
        <v>142500</v>
      </c>
      <c r="I7" s="9">
        <f t="shared" si="1"/>
        <v>224300</v>
      </c>
      <c r="J7" s="1"/>
      <c r="K7" s="1"/>
    </row>
    <row r="8" spans="1:11" ht="15.75" x14ac:dyDescent="0.25">
      <c r="A8" s="14" t="s">
        <v>6</v>
      </c>
      <c r="B8" s="15">
        <v>1200</v>
      </c>
      <c r="C8" s="2"/>
      <c r="D8" s="3" t="s">
        <v>16</v>
      </c>
      <c r="E8" s="4">
        <f xml:space="preserve"> $E$3*$E$4</f>
        <v>47500</v>
      </c>
      <c r="F8" s="2"/>
      <c r="G8" s="17">
        <f t="shared" si="2"/>
        <v>20000</v>
      </c>
      <c r="H8" s="16">
        <f t="shared" si="0"/>
        <v>190000</v>
      </c>
      <c r="I8" s="9">
        <f t="shared" si="1"/>
        <v>260700</v>
      </c>
      <c r="J8" s="1"/>
      <c r="K8" s="1"/>
    </row>
    <row r="9" spans="1:11" ht="15.75" x14ac:dyDescent="0.25">
      <c r="A9" s="13" t="s">
        <v>7</v>
      </c>
      <c r="B9" s="15">
        <f>SUM(B4:B8)</f>
        <v>115100</v>
      </c>
      <c r="C9" s="2"/>
      <c r="D9" s="3" t="s">
        <v>22</v>
      </c>
      <c r="E9" s="6">
        <f>$B$9/($E$3-$B$17)</f>
        <v>51846.846846846835</v>
      </c>
      <c r="F9" s="2"/>
      <c r="G9" s="17">
        <f t="shared" si="2"/>
        <v>25000</v>
      </c>
      <c r="H9" s="16">
        <f t="shared" si="0"/>
        <v>237500</v>
      </c>
      <c r="I9" s="9">
        <f t="shared" si="1"/>
        <v>297100</v>
      </c>
      <c r="J9" s="1"/>
      <c r="K9" s="1"/>
    </row>
    <row r="10" spans="1:11" ht="15.75" x14ac:dyDescent="0.25">
      <c r="A10" s="10"/>
      <c r="B10" s="10"/>
      <c r="C10" s="2"/>
      <c r="D10" s="3" t="s">
        <v>17</v>
      </c>
      <c r="E10" s="4">
        <f>$B$9+$B$17</f>
        <v>115107.28</v>
      </c>
      <c r="F10" s="2"/>
      <c r="G10" s="17">
        <f t="shared" si="2"/>
        <v>30000</v>
      </c>
      <c r="H10" s="16">
        <f t="shared" si="0"/>
        <v>285000</v>
      </c>
      <c r="I10" s="9">
        <f t="shared" si="1"/>
        <v>333500</v>
      </c>
      <c r="J10" s="1"/>
      <c r="K10" s="1"/>
    </row>
    <row r="11" spans="1:11" ht="15.75" x14ac:dyDescent="0.25">
      <c r="A11" s="11" t="s">
        <v>8</v>
      </c>
      <c r="B11" s="12"/>
      <c r="C11" s="2"/>
      <c r="D11" s="3" t="s">
        <v>23</v>
      </c>
      <c r="E11" s="4">
        <f>$B$9+$G$5*$E$5</f>
        <v>151500</v>
      </c>
      <c r="F11" s="2"/>
      <c r="G11" s="17">
        <f t="shared" si="2"/>
        <v>35000</v>
      </c>
      <c r="H11" s="16">
        <f t="shared" si="0"/>
        <v>332500</v>
      </c>
      <c r="I11" s="9">
        <f t="shared" si="1"/>
        <v>369900</v>
      </c>
      <c r="J11" s="18"/>
      <c r="K11" s="1"/>
    </row>
    <row r="12" spans="1:11" ht="15.75" x14ac:dyDescent="0.25">
      <c r="A12" s="14" t="s">
        <v>9</v>
      </c>
      <c r="B12" s="15">
        <v>4.5</v>
      </c>
      <c r="C12" s="2"/>
      <c r="D12" s="3" t="s">
        <v>24</v>
      </c>
      <c r="E12" s="4">
        <f>$G$5*$E$3</f>
        <v>47500</v>
      </c>
      <c r="F12" s="2"/>
      <c r="G12" s="17">
        <f t="shared" si="2"/>
        <v>40000</v>
      </c>
      <c r="H12" s="16">
        <f t="shared" si="0"/>
        <v>380000</v>
      </c>
      <c r="I12" s="9">
        <f t="shared" si="1"/>
        <v>406300</v>
      </c>
      <c r="J12" s="1"/>
      <c r="K12" s="1"/>
    </row>
    <row r="13" spans="1:11" ht="15.75" x14ac:dyDescent="0.25">
      <c r="A13" s="14" t="s">
        <v>10</v>
      </c>
      <c r="B13" s="15">
        <v>2.7</v>
      </c>
      <c r="C13" s="2"/>
      <c r="E13" s="2"/>
      <c r="F13" s="2"/>
      <c r="G13" s="17">
        <f t="shared" si="2"/>
        <v>45000</v>
      </c>
      <c r="H13" s="16">
        <f t="shared" si="0"/>
        <v>427500</v>
      </c>
      <c r="I13" s="9">
        <f t="shared" si="1"/>
        <v>442700</v>
      </c>
      <c r="J13" s="1"/>
      <c r="K13" s="1"/>
    </row>
    <row r="14" spans="1:11" ht="15.75" x14ac:dyDescent="0.25">
      <c r="A14" s="14" t="s">
        <v>11</v>
      </c>
      <c r="B14" s="15">
        <v>0.05</v>
      </c>
      <c r="C14" s="2"/>
      <c r="D14" s="2"/>
      <c r="E14" s="2"/>
      <c r="F14" s="2"/>
      <c r="G14" s="17">
        <f t="shared" si="2"/>
        <v>50000</v>
      </c>
      <c r="H14" s="16">
        <f t="shared" si="0"/>
        <v>475000</v>
      </c>
      <c r="I14" s="9">
        <f t="shared" si="1"/>
        <v>479099.99999999994</v>
      </c>
      <c r="J14" s="1"/>
      <c r="K14" s="1"/>
    </row>
    <row r="15" spans="1:11" ht="15.75" x14ac:dyDescent="0.25">
      <c r="A15" s="14" t="s">
        <v>12</v>
      </c>
      <c r="B15" s="15">
        <v>0.02</v>
      </c>
      <c r="C15" s="2"/>
      <c r="D15" s="2"/>
      <c r="E15" s="2"/>
      <c r="F15" s="2"/>
      <c r="G15" s="19">
        <v>51847</v>
      </c>
      <c r="H15" s="20">
        <f>$G$15*$E$3</f>
        <v>492546.5</v>
      </c>
      <c r="I15" s="20">
        <f>$B$9+$G$15*$E$5</f>
        <v>492546.16</v>
      </c>
      <c r="J15" s="1"/>
      <c r="K15" s="1"/>
    </row>
    <row r="16" spans="1:11" ht="15.75" x14ac:dyDescent="0.25">
      <c r="A16" s="14" t="s">
        <v>6</v>
      </c>
      <c r="B16" s="15">
        <v>0.01</v>
      </c>
      <c r="C16" s="2"/>
      <c r="D16" s="2"/>
      <c r="E16" s="2"/>
      <c r="F16" s="2"/>
      <c r="G16" s="17">
        <f>$G14+5000</f>
        <v>55000</v>
      </c>
      <c r="H16" s="16">
        <f>$E$3*$G16</f>
        <v>522500</v>
      </c>
      <c r="I16" s="9">
        <f>$B$9+($G16*$B$17)</f>
        <v>515499.99999999994</v>
      </c>
      <c r="J16" s="1"/>
      <c r="K16" s="1"/>
    </row>
    <row r="17" spans="1:11" ht="15.75" x14ac:dyDescent="0.25">
      <c r="A17" s="13" t="s">
        <v>13</v>
      </c>
      <c r="B17" s="15">
        <f>SUM(B12:B16)</f>
        <v>7.2799999999999994</v>
      </c>
      <c r="C17" s="2"/>
      <c r="D17" s="2"/>
      <c r="E17" s="2"/>
      <c r="F17" s="2"/>
      <c r="G17" s="17">
        <f>$G16+5000</f>
        <v>60000</v>
      </c>
      <c r="H17" s="16">
        <f>$E$3*$G17</f>
        <v>570000</v>
      </c>
      <c r="I17" s="9">
        <f>$B$9+($G17*$B$17)</f>
        <v>551900</v>
      </c>
      <c r="J17" s="1"/>
      <c r="K17" s="1"/>
    </row>
    <row r="18" spans="1:11" ht="15.75" x14ac:dyDescent="0.25">
      <c r="A18" s="1"/>
      <c r="B18" s="1"/>
      <c r="C18" s="1"/>
      <c r="D18" s="1"/>
      <c r="E18" s="1"/>
      <c r="F18" s="1"/>
      <c r="G18" s="17">
        <f>$G17+5000</f>
        <v>65000</v>
      </c>
      <c r="H18" s="16">
        <f>$E$3*$G18</f>
        <v>617500</v>
      </c>
      <c r="I18" s="9">
        <f>$B$9+($G18*$B$17)</f>
        <v>588300</v>
      </c>
      <c r="J18" s="1"/>
      <c r="K18" s="1"/>
    </row>
    <row r="19" spans="1:11" ht="15.75" x14ac:dyDescent="0.25">
      <c r="A19" s="1"/>
      <c r="B19" s="1"/>
      <c r="C19" s="1"/>
      <c r="D19" s="1"/>
      <c r="E19" s="1"/>
      <c r="F19" s="1"/>
      <c r="G19" s="17">
        <f>$G18+5000</f>
        <v>70000</v>
      </c>
      <c r="H19" s="16">
        <f>$E$3*$G19</f>
        <v>665000</v>
      </c>
      <c r="I19" s="9">
        <f>$B$9+($G19*$B$17)</f>
        <v>624700</v>
      </c>
    </row>
    <row r="20" spans="1:11" ht="15.75" x14ac:dyDescent="0.25">
      <c r="A20" s="1"/>
      <c r="B20" s="1"/>
      <c r="C20" s="1"/>
      <c r="D20" s="1"/>
      <c r="E20" s="1"/>
      <c r="F20" s="1"/>
      <c r="G20" s="17">
        <f>$G19+5000</f>
        <v>75000</v>
      </c>
      <c r="H20" s="16">
        <f>$E$3*$G20</f>
        <v>712500</v>
      </c>
      <c r="I20" s="9">
        <f>$B$9+($G20*$B$17)</f>
        <v>661100</v>
      </c>
    </row>
    <row r="21" spans="1:11" ht="15.75" x14ac:dyDescent="0.25">
      <c r="A21" s="1"/>
      <c r="B21" s="1"/>
      <c r="C21" s="1"/>
      <c r="D21" s="1"/>
      <c r="E21" s="1"/>
      <c r="F21" s="1"/>
      <c r="G21" s="17">
        <f>$G20+5000</f>
        <v>80000</v>
      </c>
      <c r="H21" s="16">
        <f>$E$3*$G21</f>
        <v>760000</v>
      </c>
      <c r="I21" s="9">
        <f>$B$9+($G21*$B$17)</f>
        <v>697500</v>
      </c>
    </row>
    <row r="22" spans="1:11" ht="15.75" x14ac:dyDescent="0.25">
      <c r="A22" s="1"/>
      <c r="B22" s="1"/>
      <c r="C22" s="1"/>
      <c r="D22" s="1"/>
      <c r="E22" s="1"/>
      <c r="F22" s="1"/>
      <c r="G22" s="17">
        <f>$G21+5000</f>
        <v>85000</v>
      </c>
      <c r="H22" s="16">
        <f>$E$3*$G22</f>
        <v>807500</v>
      </c>
      <c r="I22" s="9">
        <f>$B$9+($G22*$B$17)</f>
        <v>733900</v>
      </c>
    </row>
    <row r="23" spans="1:11" ht="15.75" x14ac:dyDescent="0.25">
      <c r="A23" s="1"/>
      <c r="B23" s="1"/>
      <c r="C23" s="1"/>
      <c r="D23" s="1"/>
      <c r="E23" s="1"/>
      <c r="F23" s="1"/>
      <c r="G23" s="17">
        <f>$G22+5000</f>
        <v>90000</v>
      </c>
      <c r="H23" s="16">
        <f>$E$3*$G23</f>
        <v>855000</v>
      </c>
      <c r="I23" s="9">
        <f>$B$9+($G23*$B$17)</f>
        <v>770300</v>
      </c>
    </row>
    <row r="24" spans="1:11" ht="15.75" x14ac:dyDescent="0.25">
      <c r="A24" s="1"/>
      <c r="B24" s="1"/>
      <c r="C24" s="1"/>
      <c r="D24" s="1"/>
      <c r="E24" s="1"/>
      <c r="F24" s="1"/>
      <c r="G24" s="17">
        <f>$G23+5000</f>
        <v>95000</v>
      </c>
      <c r="H24" s="16">
        <f>$E$3*$G24</f>
        <v>902500</v>
      </c>
      <c r="I24" s="9">
        <f>$B$9+($G24*$B$17)</f>
        <v>806699.99999999988</v>
      </c>
    </row>
    <row r="25" spans="1:11" ht="15.75" x14ac:dyDescent="0.25">
      <c r="A25" s="1"/>
      <c r="B25" s="1"/>
      <c r="C25" s="1"/>
      <c r="D25" s="1"/>
      <c r="E25" s="1"/>
      <c r="F25" s="1"/>
      <c r="G25" s="17">
        <f>$G24+5000</f>
        <v>100000</v>
      </c>
      <c r="H25" s="16">
        <f>$E$3*$G25</f>
        <v>950000</v>
      </c>
      <c r="I25" s="9">
        <f>$B$9+($G25*$B$17)</f>
        <v>843099.99999999988</v>
      </c>
    </row>
    <row r="26" spans="1:11" ht="15.75" x14ac:dyDescent="0.25">
      <c r="B26" s="1"/>
      <c r="C26" s="1"/>
      <c r="D26" s="1"/>
      <c r="E26" s="1"/>
      <c r="F26" s="1"/>
      <c r="J26" s="1"/>
      <c r="K26" s="1"/>
    </row>
    <row r="27" spans="1:11" ht="15.7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x14ac:dyDescent="0.25">
      <c r="B29" s="1"/>
      <c r="C29" s="1"/>
      <c r="D29" s="1"/>
      <c r="E29" s="1"/>
      <c r="F29" s="1"/>
      <c r="J29" s="1"/>
      <c r="K29" s="1"/>
    </row>
  </sheetData>
  <mergeCells count="2">
    <mergeCell ref="A3:B3"/>
    <mergeCell ref="A11:B11"/>
  </mergeCells>
  <pageMargins left="0.7" right="0.7" top="0.75" bottom="0.75" header="0.3" footer="0.3"/>
  <pageSetup paperSize="9" orientation="portrait" r:id="rId1"/>
  <ignoredErrors>
    <ignoredError sqref="H15:I1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2025-11-03T17:22:50Z</dcterms:modified>
</cp:coreProperties>
</file>